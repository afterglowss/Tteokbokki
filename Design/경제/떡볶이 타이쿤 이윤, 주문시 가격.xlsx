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LG\OneDrive\Desktop\"/>
    </mc:Choice>
  </mc:AlternateContent>
  <x:bookViews>
    <x:workbookView xWindow="0" yWindow="0" windowWidth="25350" windowHeight="11100" tabRatio="500"/>
  </x:bookViews>
  <x:sheets>
    <x:sheet name="재료 이윤 계산" sheetId="1" r:id="rId4"/>
    <x:sheet name="떡볶이 이윤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<x:sst xmlns:r="http://schemas.openxmlformats.org/officeDocument/2006/relationships" xmlns:c="http://schemas.openxmlformats.org/drawingml/2006/chart" xmlns:x="http://schemas.openxmlformats.org/spreadsheetml/2006/main" count="49" uniqueCount="40">
  <x:si>
    <x:t>200g</x:t>
  </x:si>
  <x:si>
    <x:t>100g</x:t>
  </x:si>
  <x:si>
    <x:t>이윤</x:t>
  </x:si>
  <x:si>
    <x:t>유부</x:t>
  </x:si>
  <x:si>
    <x:t>분모자</x:t>
  </x:si>
  <x:si>
    <x:t>마라소스</x:t>
  </x:si>
  <x:si>
    <x:t>판매가</x:t>
  </x:si>
  <x:si>
    <x:t>로제소스</x:t>
  </x:si>
  <x:si>
    <x:t>곱창</x:t>
  </x:si>
  <x:si>
    <x:t>50g</x:t>
  </x:si>
  <x:si>
    <x:t>1인분(총 개수)</x:t>
  </x:si>
  <x:si>
    <x:t>2개(20)</x:t>
  </x:si>
  <x:si>
    <x:t>군자</x:t>
  </x:si>
  <x:si>
    <x:t>체다치즈</x:t>
  </x:si>
  <x:si>
    <x:t>라면 사리</x:t>
  </x:si>
  <x:si>
    <x:t>군자 소스</x:t>
  </x:si>
  <x:si>
    <x:t>중국 당면</x:t>
  </x:si>
  <x:si>
    <x:t>일반 당면</x:t>
  </x:si>
  <x:si>
    <x:t>오뎅</x:t>
  </x:si>
  <x:si>
    <x:t>떡</x:t>
  </x:si>
  <x:si>
    <x:t>파</x:t>
  </x:si>
  <x:si>
    <x:t>양배추</x:t>
  </x:si>
  <x:si>
    <x:t>1인분 이윤</x:t>
  </x:si>
  <x:si>
    <x:t>메추리알</x:t>
  </x:si>
  <x:si>
    <x:t>모짜렐라 치즈</x:t>
  </x:si>
  <x:si>
    <x:t>5줄(40)</x:t>
  </x:si>
  <x:si>
    <x:t>1인분 원가</x:t>
  </x:si>
  <x:si>
    <x:t>우삼겹</x:t>
  </x:si>
  <x:si>
    <x:t>계란</x:t>
  </x:si>
  <x:si>
    <x:t>로제</x:t>
  </x:si>
  <x:si>
    <x:t>마라</x:t>
  </x:si>
  <x:si>
    <x:t>성인 군자</x:t>
  </x:si>
  <x:si>
    <x:t>1kg 당 원가</x:t>
  </x:si>
  <x:si>
    <x:t>1인분 판매가</x:t>
  </x:si>
  <x:si>
    <x:t>5개(100)</x:t>
  </x:si>
  <x:si>
    <x:t>주문 시 제공량(kg)</x:t>
  </x:si>
  <x:si>
    <x:t>400g</x:t>
  </x:si>
  <x:si>
    <x:t>원가</x:t>
  </x:si>
  <x:si>
    <x:t>400g이 1인분 / 200g 단위로 판매</x:t>
  </x:si>
  <x:si>
    <x:t>주문시 가격(원)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</x:si>
</x:sst>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right" vertical="center"/>
        </x:xf>
      </mc:Fallback>
    </mc:AlternateContent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I21"/>
  <x:sheetViews>
    <x:sheetView tabSelected="1" topLeftCell="A1" zoomScaleNormal="75" zoomScaleSheetLayoutView="100" workbookViewId="0">
      <x:selection activeCell="J26" activeCellId="0" sqref="J26:J26"/>
    </x:sheetView>
  </x:sheetViews>
  <x:sheetFormatPr defaultColWidth="8.66015625" defaultRowHeight="16.39999999999999857891"/>
  <x:cols>
    <x:col min="2" max="2" width="10.32421875" customWidth="1"/>
    <x:col min="3" max="3" width="10.7421875" customWidth="1"/>
    <x:col min="4" max="4" width="12.4921875" customWidth="1"/>
    <x:col min="5" max="5" width="10.2421875" customWidth="1"/>
    <x:col min="6" max="6" width="13.16015625" customWidth="1"/>
    <x:col min="7" max="7" width="28.66015625" customWidth="1"/>
    <x:col min="8" max="8" width="15.7421875" customWidth="1"/>
    <x:col min="9" max="9" width="14.07421875" customWidth="1"/>
  </x:cols>
  <x:sheetData>
    <x:row r="2" spans="2:9">
      <x:c r="B2" t="s">
        <x:v>32</x:v>
      </x:c>
      <x:c r="C2" t="s">
        <x:v>26</x:v>
      </x:c>
      <x:c r="D2" t="s">
        <x:v>33</x:v>
      </x:c>
      <x:c r="E2" t="s">
        <x:v>22</x:v>
      </x:c>
      <x:c r="F2" t="s">
        <x:v>10</x:v>
      </x:c>
      <x:c r="H2" t="s">
        <x:v>35</x:v>
      </x:c>
      <x:c r="I2" t="s">
        <x:v>39</x:v>
      </x:c>
    </x:row>
    <x:row r="3" spans="1:9">
      <x:c r="A3" t="s">
        <x:v>19</x:v>
      </x:c>
      <x:c r="B3">
        <x:v>2500</x:v>
      </x:c>
      <x:c r="C3">
        <x:v>500</x:v>
      </x:c>
      <x:c r="D3">
        <x:v>1000</x:v>
      </x:c>
      <x:c r="E3">
        <x:f>D3-C3</x:f>
        <x:v>500</x:v>
      </x:c>
      <x:c r="F3" s="1" t="s">
        <x:v>36</x:v>
      </x:c>
      <x:c r="G3" t="s">
        <x:v>38</x:v>
      </x:c>
      <x:c r="H3">
        <x:v>20</x:v>
      </x:c>
      <x:c r="I3">
        <x:f>B3*H3</x:f>
        <x:v>50000</x:v>
      </x:c>
    </x:row>
    <x:row r="4" spans="1:9">
      <x:c r="A4" t="s">
        <x:v>18</x:v>
      </x:c>
      <x:c r="B4">
        <x:v>2500</x:v>
      </x:c>
      <x:c r="C4">
        <x:v>500</x:v>
      </x:c>
      <x:c r="D4">
        <x:v>1000</x:v>
      </x:c>
      <x:c r="E4">
        <x:f t="shared" ref="E4:E21" si="0">D4-C4</x:f>
        <x:v>500</x:v>
      </x:c>
      <x:c r="F4" s="1" t="s">
        <x:v>36</x:v>
      </x:c>
      <x:c r="G4" t="s">
        <x:v>38</x:v>
      </x:c>
      <x:c r="H4">
        <x:v>20</x:v>
      </x:c>
      <x:c r="I4">
        <x:f t="shared" ref="I4:I21" si="1">B4*H4</x:f>
        <x:v>50000</x:v>
      </x:c>
    </x:row>
    <x:row r="5" spans="1:9">
      <x:c r="A5" t="s">
        <x:v>20</x:v>
      </x:c>
      <x:c r="B5">
        <x:v>1200</x:v>
      </x:c>
      <x:c r="C5">
        <x:v>60</x:v>
      </x:c>
      <x:c r="D5">
        <x:v>60</x:v>
      </x:c>
      <x:c r="E5">
        <x:f t="shared" si="0"/>
        <x:v>0</x:v>
      </x:c>
      <x:c r="F5" s="1" t="s">
        <x:v>9</x:v>
      </x:c>
      <x:c r="H5">
        <x:v>2</x:v>
      </x:c>
      <x:c r="I5">
        <x:f t="shared" si="1"/>
        <x:v>2400</x:v>
      </x:c>
    </x:row>
    <x:row r="6" spans="1:9">
      <x:c r="A6" t="s">
        <x:v>21</x:v>
      </x:c>
      <x:c r="B6">
        <x:v>625</x:v>
      </x:c>
      <x:c r="C6">
        <x:v>125</x:v>
      </x:c>
      <x:c r="D6">
        <x:v>125</x:v>
      </x:c>
      <x:c r="E6">
        <x:f t="shared" si="0"/>
        <x:v>0</x:v>
      </x:c>
      <x:c r="F6" s="1" t="s">
        <x:v>0</x:v>
      </x:c>
      <x:c r="H6">
        <x:v>8</x:v>
      </x:c>
      <x:c r="I6">
        <x:f t="shared" si="1"/>
        <x:v>5000</x:v>
      </x:c>
    </x:row>
    <x:row r="7" spans="1:9">
      <x:c r="A7" t="s">
        <x:v>13</x:v>
      </x:c>
      <x:c r="B7">
        <x:v>14000</x:v>
      </x:c>
      <x:c r="C7">
        <x:v>700</x:v>
      </x:c>
      <x:c r="D7">
        <x:v>1500</x:v>
      </x:c>
      <x:c r="E7">
        <x:f t="shared" si="0"/>
        <x:v>800</x:v>
      </x:c>
      <x:c r="F7" s="1" t="s">
        <x:v>9</x:v>
      </x:c>
      <x:c r="H7">
        <x:v>2</x:v>
      </x:c>
      <x:c r="I7">
        <x:f t="shared" si="1"/>
        <x:v>28000</x:v>
      </x:c>
    </x:row>
    <x:row r="8" spans="1:9">
      <x:c r="A8" t="s">
        <x:v>24</x:v>
      </x:c>
      <x:c r="B8">
        <x:v>14000</x:v>
      </x:c>
      <x:c r="C8">
        <x:v>700</x:v>
      </x:c>
      <x:c r="D8">
        <x:v>1500</x:v>
      </x:c>
      <x:c r="E8">
        <x:f t="shared" si="0"/>
        <x:v>800</x:v>
      </x:c>
      <x:c r="F8" s="1" t="s">
        <x:v>9</x:v>
      </x:c>
      <x:c r="H8">
        <x:v>2</x:v>
      </x:c>
      <x:c r="I8">
        <x:f t="shared" si="1"/>
        <x:v>28000</x:v>
      </x:c>
    </x:row>
    <x:row r="9" spans="1:9">
      <x:c r="A9" t="s">
        <x:v>27</x:v>
      </x:c>
      <x:c r="B9">
        <x:v>17000</x:v>
      </x:c>
      <x:c r="C9">
        <x:v>850</x:v>
      </x:c>
      <x:c r="D9">
        <x:v>2500</x:v>
      </x:c>
      <x:c r="E9">
        <x:f t="shared" si="0"/>
        <x:v>1650</x:v>
      </x:c>
      <x:c r="F9" s="1" t="s">
        <x:v>9</x:v>
      </x:c>
      <x:c r="H9">
        <x:v>2</x:v>
      </x:c>
      <x:c r="I9">
        <x:f t="shared" si="1"/>
        <x:v>34000</x:v>
      </x:c>
    </x:row>
    <x:row r="10" spans="1:9">
      <x:c r="A10" t="s">
        <x:v>23</x:v>
      </x:c>
      <x:c r="B10">
        <x:v>8000</x:v>
      </x:c>
      <x:c r="C10">
        <x:v>400</x:v>
      </x:c>
      <x:c r="D10">
        <x:v>1000</x:v>
      </x:c>
      <x:c r="E10">
        <x:f t="shared" si="0"/>
        <x:v>600</x:v>
      </x:c>
      <x:c r="F10" s="1" t="s">
        <x:v>34</x:v>
      </x:c>
      <x:c r="H10">
        <x:v>2</x:v>
      </x:c>
      <x:c r="I10">
        <x:f t="shared" si="1"/>
        <x:v>16000</x:v>
      </x:c>
    </x:row>
    <x:row r="11" spans="1:9">
      <x:c r="A11" t="s">
        <x:v>28</x:v>
      </x:c>
      <x:c r="B11">
        <x:v>10000</x:v>
      </x:c>
      <x:c r="C11">
        <x:v>1000</x:v>
      </x:c>
      <x:c r="D11">
        <x:v>1500</x:v>
      </x:c>
      <x:c r="E11">
        <x:f t="shared" si="0"/>
        <x:v>500</x:v>
      </x:c>
      <x:c r="F11" s="1" t="s">
        <x:v>11</x:v>
      </x:c>
      <x:c r="H11">
        <x:v>4</x:v>
      </x:c>
      <x:c r="I11">
        <x:f t="shared" si="1"/>
        <x:v>40000</x:v>
      </x:c>
    </x:row>
    <x:row r="12" spans="1:9">
      <x:c r="A12" t="s">
        <x:v>4</x:v>
      </x:c>
      <x:c r="B12">
        <x:v>14000</x:v>
      </x:c>
      <x:c r="C12">
        <x:v>1750</x:v>
      </x:c>
      <x:c r="D12">
        <x:v>3000</x:v>
      </x:c>
      <x:c r="E12">
        <x:f t="shared" si="0"/>
        <x:v>1250</x:v>
      </x:c>
      <x:c r="F12" s="1" t="s">
        <x:v>25</x:v>
      </x:c>
      <x:c r="H12">
        <x:v>5</x:v>
      </x:c>
      <x:c r="I12">
        <x:f t="shared" si="1"/>
        <x:v>70000</x:v>
      </x:c>
    </x:row>
    <x:row r="13" spans="1:9">
      <x:c r="A13" t="s">
        <x:v>17</x:v>
      </x:c>
      <x:c r="B13">
        <x:v>10000</x:v>
      </x:c>
      <x:c r="C13">
        <x:v>500</x:v>
      </x:c>
      <x:c r="D13">
        <x:v>1000</x:v>
      </x:c>
      <x:c r="E13">
        <x:f t="shared" si="0"/>
        <x:v>500</x:v>
      </x:c>
      <x:c r="F13" s="1" t="s">
        <x:v>9</x:v>
      </x:c>
      <x:c r="H13">
        <x:v>2</x:v>
      </x:c>
      <x:c r="I13">
        <x:f t="shared" si="1"/>
        <x:v>20000</x:v>
      </x:c>
    </x:row>
    <x:row r="14" spans="1:9">
      <x:c r="A14" t="s">
        <x:v>16</x:v>
      </x:c>
      <x:c r="B14">
        <x:v>7000</x:v>
      </x:c>
      <x:c r="C14">
        <x:v>700</x:v>
      </x:c>
      <x:c r="D14">
        <x:v>2000</x:v>
      </x:c>
      <x:c r="E14">
        <x:f t="shared" si="0"/>
        <x:v>1300</x:v>
      </x:c>
      <x:c r="F14" s="1" t="s">
        <x:v>9</x:v>
      </x:c>
      <x:c r="H14">
        <x:v>4</x:v>
      </x:c>
      <x:c r="I14">
        <x:f t="shared" si="1"/>
        <x:v>28000</x:v>
      </x:c>
    </x:row>
    <x:row r="15" spans="1:9">
      <x:c r="A15" t="s">
        <x:v>14</x:v>
      </x:c>
      <x:c r="B15">
        <x:v>3000</x:v>
      </x:c>
      <x:c r="C15">
        <x:v>300</x:v>
      </x:c>
      <x:c r="D15">
        <x:v>1000</x:v>
      </x:c>
      <x:c r="E15">
        <x:f t="shared" si="0"/>
        <x:v>700</x:v>
      </x:c>
      <x:c r="F15" s="1" t="s">
        <x:v>1</x:v>
      </x:c>
      <x:c r="H15">
        <x:v>4</x:v>
      </x:c>
      <x:c r="I15">
        <x:f t="shared" si="1"/>
        <x:v>12000</x:v>
      </x:c>
    </x:row>
    <x:row r="16" spans="1:9">
      <x:c r="A16" t="s">
        <x:v>3</x:v>
      </x:c>
      <x:c r="B16">
        <x:v>12000</x:v>
      </x:c>
      <x:c r="C16">
        <x:v>1200</x:v>
      </x:c>
      <x:c r="D16">
        <x:v>1500</x:v>
      </x:c>
      <x:c r="E16">
        <x:f t="shared" si="0"/>
        <x:v>300</x:v>
      </x:c>
      <x:c r="F16" s="1" t="s">
        <x:v>1</x:v>
      </x:c>
      <x:c r="H16">
        <x:v>4</x:v>
      </x:c>
      <x:c r="I16">
        <x:f t="shared" si="1"/>
        <x:v>48000</x:v>
      </x:c>
    </x:row>
    <x:row r="17" spans="1:9">
      <x:c r="A17" t="s">
        <x:v>8</x:v>
      </x:c>
      <x:c r="B17">
        <x:v>30000</x:v>
      </x:c>
      <x:c r="C17">
        <x:v>3000</x:v>
      </x:c>
      <x:c r="D17">
        <x:v>4000</x:v>
      </x:c>
      <x:c r="E17">
        <x:f t="shared" si="0"/>
        <x:v>1000</x:v>
      </x:c>
      <x:c r="F17" s="1" t="s">
        <x:v>1</x:v>
      </x:c>
      <x:c r="H17">
        <x:v>4</x:v>
      </x:c>
      <x:c r="I17">
        <x:f t="shared" si="1"/>
        <x:v>120000</x:v>
      </x:c>
    </x:row>
    <x:row r="18" spans="5:9">
      <x:c r="E18">
        <x:f t="shared" si="0"/>
        <x:v>0</x:v>
      </x:c>
      <x:c r="F18" s="1"/>
      <x:c r="I18">
        <x:f t="shared" si="1"/>
        <x:v>0</x:v>
      </x:c>
    </x:row>
    <x:row r="19" spans="1:9">
      <x:c r="A19" t="s">
        <x:v>15</x:v>
      </x:c>
      <x:c r="B19">
        <x:v>4000</x:v>
      </x:c>
      <x:c r="C19">
        <x:v>200</x:v>
      </x:c>
      <x:c r="D19">
        <x:v>500</x:v>
      </x:c>
      <x:c r="E19">
        <x:f t="shared" si="0"/>
        <x:v>300</x:v>
      </x:c>
      <x:c r="F19" s="1"/>
      <x:c r="H19">
        <x:v>4</x:v>
      </x:c>
      <x:c r="I19">
        <x:f t="shared" si="1"/>
        <x:v>16000</x:v>
      </x:c>
    </x:row>
    <x:row r="20" spans="1:9">
      <x:c r="A20" t="s">
        <x:v>5</x:v>
      </x:c>
      <x:c r="B20">
        <x:v>16000</x:v>
      </x:c>
      <x:c r="C20">
        <x:v>800</x:v>
      </x:c>
      <x:c r="D20">
        <x:v>1000</x:v>
      </x:c>
      <x:c r="E20">
        <x:f t="shared" si="0"/>
        <x:v>200</x:v>
      </x:c>
      <x:c r="F20" s="1"/>
      <x:c r="H20">
        <x:v>2</x:v>
      </x:c>
      <x:c r="I20">
        <x:f t="shared" si="1"/>
        <x:v>32000</x:v>
      </x:c>
    </x:row>
    <x:row r="21" spans="1:9">
      <x:c r="A21" t="s">
        <x:v>7</x:v>
      </x:c>
      <x:c r="B21">
        <x:v>16000</x:v>
      </x:c>
      <x:c r="C21">
        <x:v>800</x:v>
      </x:c>
      <x:c r="D21">
        <x:v>1000</x:v>
      </x:c>
      <x:c r="E21">
        <x:f t="shared" si="0"/>
        <x:v>200</x:v>
      </x:c>
      <x:c r="F21" s="1"/>
      <x:c r="H21">
        <x:v>2</x:v>
      </x:c>
      <x:c r="I21">
        <x:f t="shared" si="1"/>
        <x:v>32000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D5"/>
  <x:sheetViews>
    <x:sheetView topLeftCell="A1" zoomScaleNormal="75" zoomScaleSheetLayoutView="100" workbookViewId="0">
      <x:selection activeCell="C17" activeCellId="0" sqref="C17:C17"/>
    </x:sheetView>
  </x:sheetViews>
  <x:sheetFormatPr defaultColWidth="8.66015625" defaultRowHeight="16.39999999999999857891"/>
  <x:cols>
    <x:col min="2" max="4" width="8.66015625" bestFit="1" customWidth="1"/>
  </x:cols>
  <x:sheetData>
    <x:row r="1" spans="2:4">
      <x:c r="B1" t="s">
        <x:v>6</x:v>
      </x:c>
      <x:c r="C1" t="s">
        <x:v>37</x:v>
      </x:c>
      <x:c r="D1" t="s">
        <x:v>2</x:v>
      </x:c>
    </x:row>
    <x:row r="2" spans="1:4">
      <x:c r="A2" t="s">
        <x:v>12</x:v>
      </x:c>
      <x:c r="B2">
        <x:v>8000</x:v>
      </x:c>
      <x:c r="C2">
        <x:v>2540</x:v>
      </x:c>
      <x:c r="D2">
        <x:f>B2-C2</x:f>
        <x:v>5460</x:v>
      </x:c>
    </x:row>
    <x:row r="3" spans="1:4">
      <x:c r="A3" t="s">
        <x:v>31</x:v>
      </x:c>
      <x:c r="B3">
        <x:v>8500</x:v>
      </x:c>
      <x:c r="C3">
        <x:v>2940</x:v>
      </x:c>
      <x:c r="D3">
        <x:f t="shared" ref="D3:D5" si="0">B3-C3</x:f>
        <x:v>5560</x:v>
      </x:c>
    </x:row>
    <x:row r="4" spans="1:4">
      <x:c r="A4" t="s">
        <x:v>30</x:v>
      </x:c>
      <x:c r="B4">
        <x:v>10000</x:v>
      </x:c>
      <x:c r="C4">
        <x:v>2985</x:v>
      </x:c>
      <x:c r="D4">
        <x:f t="shared" si="0"/>
        <x:v>7015</x:v>
      </x:c>
    </x:row>
    <x:row r="5" spans="1:4">
      <x:c r="A5" t="s">
        <x:v>29</x:v>
      </x:c>
      <x:c r="B5">
        <x:v>10000</x:v>
      </x:c>
      <x:c r="C5">
        <x:v>2985</x:v>
      </x:c>
      <x:c r="D5">
        <x:f t="shared" si="0"/>
        <x:v>7015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재료 이윤 계산</vt:lpstr>
      <vt:lpstr>떡볶이 이윤</vt:lpstr>
    </vt:vector>
  </ep:TitlesOfParts>
  <ep:TotalTime>37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cp:revision>4</cp:revision>
  <dcterms:created xsi:type="dcterms:W3CDTF">2025-07-05T06:14:39.058</dcterms:created>
  <dcterms:modified xsi:type="dcterms:W3CDTF">2025-07-05T06:54:30.412</dcterms:modified>
  <cp:version>1300.0100.01</cp:version>
</cp:coreProperties>
</file>